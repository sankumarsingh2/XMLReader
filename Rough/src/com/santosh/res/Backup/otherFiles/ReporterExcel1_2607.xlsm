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msanto\workspace1\Rough\src\com\santosh\res\"/>
    </mc:Choice>
  </mc:AlternateContent>
  <bookViews>
    <workbookView xWindow="120" yWindow="60" windowWidth="15480" windowHeight="11640"/>
  </bookViews>
  <sheets>
    <sheet name="VFUK" sheetId="1" r:id="rId1"/>
    <sheet name="Graph" sheetId="3" r:id="rId2"/>
    <sheet name="Defects" sheetId="5" r:id="rId3"/>
    <sheet name="Data" sheetId="2" state="hidden" r:id="rId4"/>
  </sheets>
  <calcPr calcId="171027"/>
</workbook>
</file>

<file path=xl/calcChain.xml><?xml version="1.0" encoding="utf-8"?>
<calcChain xmlns="http://schemas.openxmlformats.org/spreadsheetml/2006/main">
  <c r="AC41" i="1" l="1"/>
  <c r="AB41" i="1"/>
  <c r="AA41" i="1"/>
  <c r="Z41" i="1"/>
  <c r="Y41" i="1"/>
  <c r="X41" i="1"/>
  <c r="W41" i="1"/>
  <c r="V41" i="1"/>
  <c r="U41" i="1"/>
  <c r="L41" i="1"/>
  <c r="K41" i="1"/>
  <c r="J41" i="1"/>
  <c r="AA25" i="1"/>
  <c r="Y25" i="1"/>
  <c r="S25" i="1"/>
  <c r="Q25" i="1"/>
  <c r="O25" i="1"/>
  <c r="M25" i="1"/>
  <c r="K25" i="1"/>
  <c r="J25" i="1"/>
  <c r="I25" i="1"/>
  <c r="H25" i="1"/>
  <c r="A25" i="1"/>
  <c r="W24" i="1"/>
  <c r="U24" i="1"/>
  <c r="T24" i="1"/>
  <c r="N24" i="1"/>
  <c r="W23" i="1"/>
  <c r="U23" i="1"/>
  <c r="T23" i="1"/>
  <c r="N23" i="1"/>
  <c r="W22" i="1"/>
  <c r="U22" i="1"/>
  <c r="T22" i="1"/>
  <c r="N22" i="1"/>
  <c r="W21" i="1"/>
  <c r="U21" i="1"/>
  <c r="T21" i="1"/>
  <c r="N21" i="1"/>
  <c r="W20" i="1"/>
  <c r="U20" i="1"/>
  <c r="T20" i="1"/>
  <c r="N20" i="1"/>
  <c r="W19" i="1"/>
  <c r="U19" i="1"/>
  <c r="T19" i="1"/>
  <c r="N19" i="1"/>
  <c r="W18" i="1"/>
  <c r="U18" i="1"/>
  <c r="T18" i="1"/>
  <c r="N18" i="1"/>
  <c r="W17" i="1"/>
  <c r="U17" i="1"/>
  <c r="T17" i="1"/>
  <c r="N17" i="1"/>
  <c r="W16" i="1"/>
  <c r="U16" i="1"/>
  <c r="T16" i="1"/>
  <c r="N16" i="1"/>
  <c r="W15" i="1"/>
  <c r="U15" i="1"/>
  <c r="T15" i="1"/>
  <c r="N15" i="1"/>
  <c r="W14" i="1"/>
  <c r="W25" i="1" s="1"/>
  <c r="X25" i="1" s="1"/>
  <c r="U14" i="1"/>
  <c r="T14" i="1"/>
  <c r="N14" i="1"/>
  <c r="L25" i="1" l="1"/>
  <c r="T25" i="1" a="1"/>
  <c r="T25" i="1" s="1"/>
  <c r="N25" i="1" a="1"/>
  <c r="N25" i="1" s="1"/>
  <c r="R25" i="1"/>
  <c r="V25" i="1" s="1"/>
  <c r="U25" i="1" a="1"/>
  <c r="U25" i="1" s="1"/>
  <c r="P25" i="1"/>
</calcChain>
</file>

<file path=xl/comments1.xml><?xml version="1.0" encoding="utf-8"?>
<comments xmlns="http://schemas.openxmlformats.org/spreadsheetml/2006/main">
  <authors>
    <author>ILRNAABTS01</author>
  </authors>
  <commentList>
    <comment ref="X41" authorId="0" shapeId="0">
      <text>
        <r>
          <rPr>
            <b/>
            <sz val="9"/>
            <color indexed="81"/>
            <rFont val="Tahoma"/>
            <family val="2"/>
          </rPr>
          <t>Total defects represent the distinct number of defects.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Total defects represent the distinct number of defects.</t>
        </r>
      </text>
    </comment>
    <comment ref="Z41" authorId="0" shapeId="0">
      <text>
        <r>
          <rPr>
            <b/>
            <sz val="9"/>
            <color indexed="81"/>
            <rFont val="Tahoma"/>
            <family val="2"/>
          </rPr>
          <t>Total defects represent the distinct number of defects.</t>
        </r>
      </text>
    </comment>
    <comment ref="AA41" authorId="0" shapeId="0">
      <text>
        <r>
          <rPr>
            <b/>
            <sz val="9"/>
            <color indexed="81"/>
            <rFont val="Tahoma"/>
            <family val="2"/>
          </rPr>
          <t>Total defects represent the distinct number of defects.</t>
        </r>
      </text>
    </comment>
    <comment ref="AB41" authorId="0" shapeId="0">
      <text>
        <r>
          <rPr>
            <b/>
            <sz val="9"/>
            <color indexed="81"/>
            <rFont val="Tahoma"/>
            <family val="2"/>
          </rPr>
          <t>Total defects represent the distinct number of defects.</t>
        </r>
      </text>
    </comment>
    <comment ref="AC41" authorId="0" shapeId="0">
      <text>
        <r>
          <rPr>
            <b/>
            <sz val="9"/>
            <color indexed="81"/>
            <rFont val="Tahoma"/>
            <family val="2"/>
          </rPr>
          <t>Total defects represent the distinct number of defects.</t>
        </r>
      </text>
    </comment>
  </commentList>
</comments>
</file>

<file path=xl/sharedStrings.xml><?xml version="1.0" encoding="utf-8"?>
<sst xmlns="http://schemas.openxmlformats.org/spreadsheetml/2006/main" count="247" uniqueCount="128">
  <si>
    <t>Vodafone UK - Mobile VBC Drop 1 Daily Execution Report For VFUK</t>
  </si>
  <si>
    <t>Current Progress Day:</t>
  </si>
  <si>
    <t>Next Progress Day:</t>
  </si>
  <si>
    <t>Start of Planning period:</t>
  </si>
  <si>
    <t>End of Planning period:</t>
  </si>
  <si>
    <t>Number For Calculation</t>
  </si>
  <si>
    <t>Test Cases/Calendar</t>
  </si>
  <si>
    <t>Comments</t>
  </si>
  <si>
    <t>Working Pattern</t>
  </si>
  <si>
    <t>Start Date</t>
  </si>
  <si>
    <t>End Date</t>
  </si>
  <si>
    <t>Base Line Mode?</t>
  </si>
  <si>
    <t>Base Line</t>
  </si>
  <si>
    <t>Total TCs</t>
  </si>
  <si>
    <t>Remaining TCs</t>
  </si>
  <si>
    <t>Plan for report date</t>
  </si>
  <si>
    <t>Actual for report date</t>
  </si>
  <si>
    <t>Plan for next day</t>
  </si>
  <si>
    <t>Accumulated: Plan for report date</t>
  </si>
  <si>
    <t>Accumulated: Actual for report date</t>
  </si>
  <si>
    <t>Execution Status</t>
  </si>
  <si>
    <t>Accumulated: Plan for end of week</t>
  </si>
  <si>
    <t>Remaining duration</t>
  </si>
  <si>
    <t>Projected date</t>
  </si>
  <si>
    <t>Automated TCs</t>
  </si>
  <si>
    <t>01_Domestic_Voice</t>
  </si>
  <si>
    <t/>
  </si>
  <si>
    <t>IND+UK</t>
  </si>
  <si>
    <t>23/07/2018</t>
  </si>
  <si>
    <t>27/07/2018</t>
  </si>
  <si>
    <t>No</t>
  </si>
  <si>
    <t>J</t>
  </si>
  <si>
    <t>26-Jul-18</t>
  </si>
  <si>
    <t>02_Domestic_SMS</t>
  </si>
  <si>
    <t>25-Jul-18</t>
  </si>
  <si>
    <t>03_MMS</t>
  </si>
  <si>
    <t>04_International_Voice</t>
  </si>
  <si>
    <t>L</t>
  </si>
  <si>
    <t>07-Aug-18</t>
  </si>
  <si>
    <t>05_Roaming_Voice</t>
  </si>
  <si>
    <t>30/07/2018</t>
  </si>
  <si>
    <t>03/08/2018</t>
  </si>
  <si>
    <t>31-Aug-18</t>
  </si>
  <si>
    <t>06_Roaming_SMS</t>
  </si>
  <si>
    <t>08-Aug-18</t>
  </si>
  <si>
    <t>07_Bundle_Aggregation</t>
  </si>
  <si>
    <t>30-Jul-18</t>
  </si>
  <si>
    <t>08_Traveller_Agreegation</t>
  </si>
  <si>
    <t>01-Aug-18</t>
  </si>
  <si>
    <t>09_Web_Client</t>
  </si>
  <si>
    <t>K</t>
  </si>
  <si>
    <t>03-Aug-18</t>
  </si>
  <si>
    <t>10_Regression</t>
  </si>
  <si>
    <t>11_TAR_GUI</t>
  </si>
  <si>
    <t>17/07/2018</t>
  </si>
  <si>
    <t>20/07/2018</t>
  </si>
  <si>
    <t>23-Jul-18</t>
  </si>
  <si>
    <t>Total</t>
  </si>
  <si>
    <t>Planned execution Vs. Actual</t>
  </si>
  <si>
    <t>Planned execution Vs. Actual - Accumulated up to date</t>
  </si>
  <si>
    <t>Total Planned</t>
  </si>
  <si>
    <t>Estimate completion info</t>
  </si>
  <si>
    <t>Date Range</t>
  </si>
  <si>
    <t>Passed</t>
  </si>
  <si>
    <t>Total Passed</t>
  </si>
  <si>
    <t>Passed/Run</t>
  </si>
  <si>
    <t>Pass Rate</t>
  </si>
  <si>
    <t>Failed</t>
  </si>
  <si>
    <t>Total Failed</t>
  </si>
  <si>
    <t>Failed/Run</t>
  </si>
  <si>
    <t>N/A</t>
  </si>
  <si>
    <t>Blocked</t>
  </si>
  <si>
    <t>Not Completed</t>
  </si>
  <si>
    <t>Critical on Dev</t>
  </si>
  <si>
    <t>High on Dev</t>
  </si>
  <si>
    <t>Total on Dev</t>
  </si>
  <si>
    <t>Linked Defect IDs on Dev</t>
  </si>
  <si>
    <t>Critical on Testing</t>
  </si>
  <si>
    <t>High on Testing</t>
  </si>
  <si>
    <t>Total on Testing</t>
  </si>
  <si>
    <t>Linked Defect IDs on Testing</t>
  </si>
  <si>
    <t>Base Line Scenarios</t>
  </si>
  <si>
    <t>Actual Scenarios</t>
  </si>
  <si>
    <t>Scenarios Count</t>
  </si>
  <si>
    <t>Successfully Completed Scenarios</t>
  </si>
  <si>
    <t>Failed Scenarios</t>
  </si>
  <si>
    <t>Available Scenarios</t>
  </si>
  <si>
    <t>Blocked Scenarios</t>
  </si>
  <si>
    <t>Not Completed Scenarios</t>
  </si>
  <si>
    <t>Not covered Scenarios</t>
  </si>
  <si>
    <t>Entity Level</t>
  </si>
  <si>
    <t>Passed TCs Status</t>
  </si>
  <si>
    <t>Failed TCs Status</t>
  </si>
  <si>
    <t>Other TCs Status</t>
  </si>
  <si>
    <t>Defects on Development Status</t>
  </si>
  <si>
    <t>Defects on Testing Status</t>
  </si>
  <si>
    <t>Scenarios Status</t>
  </si>
  <si>
    <t>D_DATE</t>
  </si>
  <si>
    <t>ACTUAL</t>
  </si>
  <si>
    <t>PLANNED</t>
  </si>
  <si>
    <t>Total Number of Defects: 4</t>
  </si>
  <si>
    <t>Issue ID</t>
  </si>
  <si>
    <t>Detected on Date</t>
  </si>
  <si>
    <t>Priority</t>
  </si>
  <si>
    <t>Severity</t>
  </si>
  <si>
    <t>Assigned to</t>
  </si>
  <si>
    <t>Link ID</t>
  </si>
  <si>
    <t>Status</t>
  </si>
  <si>
    <t>Summary</t>
  </si>
  <si>
    <t>Due date</t>
  </si>
  <si>
    <t>Why the problem Happened?</t>
  </si>
  <si>
    <t>P2</t>
  </si>
  <si>
    <t>02-High</t>
  </si>
  <si>
    <t>kumsanto</t>
  </si>
  <si>
    <t>Ready_for_ST</t>
  </si>
  <si>
    <t>VBC_D1  Roaming call was aggregated to the wrong call category</t>
  </si>
  <si>
    <t>2018-07-26</t>
  </si>
  <si>
    <t>Coding not according to DD</t>
  </si>
  <si>
    <t>P1</t>
  </si>
  <si>
    <t>01-Critical</t>
  </si>
  <si>
    <t>Closed</t>
  </si>
  <si>
    <t>VBC_D1 MMS was aggregated to the wrong call category due to issue with handling of the Network of Call Origin.</t>
  </si>
  <si>
    <t>Legacy data unclean</t>
  </si>
  <si>
    <t>VBC_D1 Failed to swap the tariff class as test MSISDNs were not in the MNP file.</t>
  </si>
  <si>
    <t>Storage/Env/DB is not refreshed/sync with CC</t>
  </si>
  <si>
    <t>firasats</t>
  </si>
  <si>
    <t>Assigned</t>
  </si>
  <si>
    <t>VBC_D1 - Failed to aggregate Voice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</si>
</sst>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 mmmm\ yyyy\ hh:mm"/>
    <numFmt numFmtId="165" formatCode="[$-F800]dddd\,\ mmmm\ dd\,\ yyyy"/>
    <numFmt numFmtId="166" formatCode="0.0%"/>
  </numFmts>
  <fonts count="9" x14ac:knownFonts="1">
    <font>
      <sz val="10"/>
      <name val="Arial"/>
    </font>
    <font>
      <b/>
      <sz val="10"/>
      <color indexed="8"/>
      <name val="Calibri"/>
      <family val="2"/>
    </font>
    <font>
      <b/>
      <sz val="14"/>
      <color rgb="FF966EA0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b/>
      <sz val="12"/>
      <color indexed="9"/>
      <name val="Wingdings"/>
      <charset val="2"/>
    </font>
    <font>
      <b/>
      <sz val="12"/>
      <color indexed="8"/>
      <name val="Wingdings"/>
      <charset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6E7878"/>
        <bgColor indexed="64"/>
      </patternFill>
    </fill>
    <fill>
      <patternFill patternType="solid">
        <fgColor rgb="FF8CA0B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D2BED2"/>
        <bgColor indexed="64"/>
      </patternFill>
    </fill>
  </fills>
  <borders count="14">
    <border>
      <left/>
      <right/>
      <top/>
      <bottom/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165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/>
    </xf>
    <xf numFmtId="9" fontId="4" fillId="0" borderId="7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9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3" fillId="3" borderId="6" xfId="0" applyFont="1" applyFill="1" applyBorder="1" applyAlignment="1">
      <alignment horizontal="center" vertical="center"/>
    </xf>
    <xf numFmtId="1" fontId="3" fillId="3" borderId="6" xfId="0" applyNumberFormat="1" applyFont="1" applyFill="1" applyBorder="1" applyAlignment="1">
      <alignment horizontal="center" vertical="center"/>
    </xf>
    <xf numFmtId="9" fontId="3" fillId="3" borderId="6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3" fillId="2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6" fillId="3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6" fontId="4" fillId="0" borderId="6" xfId="0" applyNumberFormat="1" applyFont="1" applyBorder="1" applyAlignment="1">
      <alignment horizontal="center" vertical="center"/>
    </xf>
    <xf numFmtId="166" fontId="4" fillId="0" borderId="7" xfId="0" applyNumberFormat="1" applyFont="1" applyBorder="1" applyAlignment="1">
      <alignment horizontal="center" vertical="center"/>
    </xf>
    <xf numFmtId="166" fontId="3" fillId="3" borderId="6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14" fontId="4" fillId="0" borderId="7" xfId="0" applyNumberFormat="1" applyFont="1" applyFill="1" applyBorder="1" applyAlignment="1" applyProtection="1">
      <alignment horizontal="left" vertical="center"/>
    </xf>
    <xf numFmtId="1" fontId="4" fillId="0" borderId="7" xfId="0" applyNumberFormat="1" applyFont="1" applyBorder="1" applyAlignment="1">
      <alignment horizontal="left" vertical="center"/>
    </xf>
    <xf numFmtId="14" fontId="4" fillId="0" borderId="6" xfId="0" applyNumberFormat="1" applyFont="1" applyFill="1" applyBorder="1" applyAlignment="1" applyProtection="1">
      <alignment horizontal="left" vertical="center"/>
    </xf>
    <xf numFmtId="1" fontId="4" fillId="0" borderId="6" xfId="0" applyNumberFormat="1" applyFont="1" applyBorder="1" applyAlignment="1">
      <alignment horizontal="left" vertical="center"/>
    </xf>
    <xf numFmtId="14" fontId="4" fillId="0" borderId="5" xfId="0" applyNumberFormat="1" applyFont="1" applyFill="1" applyBorder="1" applyAlignment="1" applyProtection="1">
      <alignment horizontal="left" vertical="center"/>
    </xf>
    <xf numFmtId="1" fontId="4" fillId="0" borderId="3" xfId="0" applyNumberFormat="1" applyFont="1" applyBorder="1" applyAlignment="1">
      <alignment horizontal="left" vertical="center"/>
    </xf>
    <xf numFmtId="14" fontId="4" fillId="0" borderId="9" xfId="0" applyNumberFormat="1" applyFont="1" applyFill="1" applyBorder="1" applyAlignment="1" applyProtection="1">
      <alignment horizontal="left" vertical="center"/>
    </xf>
    <xf numFmtId="1" fontId="4" fillId="0" borderId="8" xfId="0" applyNumberFormat="1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14" fontId="4" fillId="0" borderId="7" xfId="0" applyNumberFormat="1" applyFont="1" applyBorder="1" applyAlignment="1">
      <alignment horizontal="left" vertical="center"/>
    </xf>
    <xf numFmtId="14" fontId="4" fillId="0" borderId="6" xfId="0" applyNumberFormat="1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165" fontId="1" fillId="0" borderId="0" xfId="0" applyNumberFormat="1" applyFont="1" applyAlignment="1">
      <alignment horizontal="left" vertical="center"/>
    </xf>
    <xf numFmtId="164" fontId="1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5" fontId="1" fillId="0" borderId="0" xfId="0" applyNumberFormat="1" applyFont="1" applyAlignment="1">
      <alignment horizontal="left"/>
    </xf>
    <xf numFmtId="0" fontId="3" fillId="3" borderId="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left" vertical="center" wrapText="1"/>
    </xf>
    <xf numFmtId="0" fontId="4" fillId="5" borderId="12" xfId="0" applyFont="1" applyFill="1" applyBorder="1" applyAlignment="1">
      <alignment horizontal="left" vertical="center" wrapText="1"/>
    </xf>
    <xf numFmtId="0" fontId="4" fillId="5" borderId="13" xfId="0" applyFont="1" applyFill="1" applyBorder="1" applyAlignment="1">
      <alignment horizontal="left" vertical="center" wrapText="1"/>
    </xf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/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numFmt numFmtId="167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  <protection locked="1" hidden="0"/>
    </dxf>
    <dxf>
      <border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scheme val="none"/>
      </font>
      <fill>
        <patternFill patternType="solid">
          <fgColor indexed="64"/>
          <bgColor rgb="FF6E78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/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numFmt numFmtId="167" formatCode="dd/mm/yyyy"/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numFmt numFmtId="167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rgb="FF808080"/>
        </right>
        <top style="thin">
          <color rgb="FF808080"/>
        </top>
        <bottom style="thin">
          <color rgb="FF808080"/>
        </bottom>
        <vertical/>
        <horizontal/>
      </border>
    </dxf>
    <dxf>
      <border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scheme val="none"/>
      </font>
      <fill>
        <patternFill patternType="solid">
          <fgColor indexed="64"/>
          <bgColor rgb="FF6E78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/>
        <bottom/>
      </border>
    </dxf>
    <dxf>
      <font>
        <color indexed="10"/>
      </font>
    </dxf>
    <dxf>
      <font>
        <color indexed="48"/>
      </font>
    </dxf>
    <dxf>
      <font>
        <color indexed="17"/>
      </font>
    </dxf>
    <dxf>
      <font>
        <color indexed="10"/>
      </font>
    </dxf>
    <dxf>
      <font>
        <color indexed="48"/>
      </font>
    </dxf>
    <dxf>
      <font>
        <color indexed="17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Test Cases Execution Planned vs.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ACTUAL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Data!$B$3:$B$20</c:f>
              <c:numCache>
                <c:formatCode>m/d/yyyy</c:formatCode>
                <c:ptCount val="18"/>
                <c:pt idx="0">
                  <c:v>43298</c:v>
                </c:pt>
                <c:pt idx="1">
                  <c:v>43299</c:v>
                </c:pt>
                <c:pt idx="2">
                  <c:v>43300</c:v>
                </c:pt>
                <c:pt idx="3">
                  <c:v>43301</c:v>
                </c:pt>
                <c:pt idx="4">
                  <c:v>43302</c:v>
                </c:pt>
                <c:pt idx="5">
                  <c:v>43303</c:v>
                </c:pt>
                <c:pt idx="6">
                  <c:v>43304</c:v>
                </c:pt>
                <c:pt idx="7">
                  <c:v>43305</c:v>
                </c:pt>
                <c:pt idx="8">
                  <c:v>43306</c:v>
                </c:pt>
                <c:pt idx="9">
                  <c:v>43307</c:v>
                </c:pt>
                <c:pt idx="10">
                  <c:v>43308</c:v>
                </c:pt>
                <c:pt idx="11">
                  <c:v>43309</c:v>
                </c:pt>
                <c:pt idx="12">
                  <c:v>43310</c:v>
                </c:pt>
                <c:pt idx="13">
                  <c:v>43311</c:v>
                </c:pt>
                <c:pt idx="14">
                  <c:v>43312</c:v>
                </c:pt>
                <c:pt idx="15">
                  <c:v>43313</c:v>
                </c:pt>
                <c:pt idx="16">
                  <c:v>43314</c:v>
                </c:pt>
                <c:pt idx="17">
                  <c:v>43315</c:v>
                </c:pt>
              </c:numCache>
            </c:numRef>
          </c:cat>
          <c:val>
            <c:numRef>
              <c:f>Data!$C$3:$C$20</c:f>
              <c:numCache>
                <c:formatCode>0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8</c:v>
                </c:pt>
                <c:pt idx="8">
                  <c:v>35</c:v>
                </c:pt>
                <c:pt idx="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B-47DE-83FD-4208DA0A5E80}"/>
            </c:ext>
          </c:extLst>
        </c:ser>
        <c:ser>
          <c:idx val="1"/>
          <c:order val="1"/>
          <c:tx>
            <c:strRef>
              <c:f>Data!$D$2</c:f>
              <c:strCache>
                <c:ptCount val="1"/>
                <c:pt idx="0">
                  <c:v>PLANNED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Data!$B$3:$B$20</c:f>
              <c:numCache>
                <c:formatCode>m/d/yyyy</c:formatCode>
                <c:ptCount val="18"/>
                <c:pt idx="0">
                  <c:v>43298</c:v>
                </c:pt>
                <c:pt idx="1">
                  <c:v>43299</c:v>
                </c:pt>
                <c:pt idx="2">
                  <c:v>43300</c:v>
                </c:pt>
                <c:pt idx="3">
                  <c:v>43301</c:v>
                </c:pt>
                <c:pt idx="4">
                  <c:v>43302</c:v>
                </c:pt>
                <c:pt idx="5">
                  <c:v>43303</c:v>
                </c:pt>
                <c:pt idx="6">
                  <c:v>43304</c:v>
                </c:pt>
                <c:pt idx="7">
                  <c:v>43305</c:v>
                </c:pt>
                <c:pt idx="8">
                  <c:v>43306</c:v>
                </c:pt>
                <c:pt idx="9">
                  <c:v>43307</c:v>
                </c:pt>
                <c:pt idx="10">
                  <c:v>43308</c:v>
                </c:pt>
                <c:pt idx="11">
                  <c:v>43309</c:v>
                </c:pt>
                <c:pt idx="12">
                  <c:v>43310</c:v>
                </c:pt>
                <c:pt idx="13">
                  <c:v>43311</c:v>
                </c:pt>
                <c:pt idx="14">
                  <c:v>43312</c:v>
                </c:pt>
                <c:pt idx="15">
                  <c:v>43313</c:v>
                </c:pt>
                <c:pt idx="16">
                  <c:v>43314</c:v>
                </c:pt>
                <c:pt idx="17">
                  <c:v>43315</c:v>
                </c:pt>
              </c:numCache>
            </c:numRef>
          </c:cat>
          <c:val>
            <c:numRef>
              <c:f>Data!$D$3:$D$20</c:f>
              <c:numCache>
                <c:formatCode>0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13</c:v>
                </c:pt>
                <c:pt idx="7">
                  <c:v>24</c:v>
                </c:pt>
                <c:pt idx="8">
                  <c:v>34</c:v>
                </c:pt>
                <c:pt idx="9">
                  <c:v>44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74</c:v>
                </c:pt>
                <c:pt idx="14">
                  <c:v>96</c:v>
                </c:pt>
                <c:pt idx="15">
                  <c:v>120</c:v>
                </c:pt>
                <c:pt idx="16">
                  <c:v>138</c:v>
                </c:pt>
                <c:pt idx="17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1B-47DE-83FD-4208DA0A5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73488"/>
        <c:axId val="186808936"/>
      </c:lineChart>
      <c:dateAx>
        <c:axId val="18697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8936"/>
        <c:crosses val="autoZero"/>
        <c:auto val="1"/>
        <c:lblOffset val="100"/>
        <c:baseTimeUnit val="days"/>
      </c:dateAx>
      <c:valAx>
        <c:axId val="18680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73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92075</xdr:rowOff>
    </xdr:from>
    <xdr:to>
      <xdr:col>11</xdr:col>
      <xdr:colOff>215900</xdr:colOff>
      <xdr:row>23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4_1" displayName="Table4_1" ref="B7:K11" totalsRowShown="0" headerRowDxfId="17" dataDxfId="16" tableBorderDxfId="15">
  <autoFilter ref="B7:K11"/>
  <tableColumns count="10">
    <tableColumn id="1" name="Issue ID" dataDxfId="14"/>
    <tableColumn id="2" name="Detected on Date" dataDxfId="13"/>
    <tableColumn id="3" name="Priority" dataDxfId="12"/>
    <tableColumn id="4" name="Severity" dataDxfId="11"/>
    <tableColumn id="5" name="Assigned to" dataDxfId="10"/>
    <tableColumn id="6" name="Link ID" dataDxfId="9"/>
    <tableColumn id="7" name="Status" dataDxfId="8"/>
    <tableColumn id="8" name="Summary" dataDxfId="7"/>
    <tableColumn id="9" name="Due date" dataDxfId="6"/>
    <tableColumn id="10" name="Why the problem Happened?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Table2_1" displayName="Table2_1" ref="B2:D20" totalsRowShown="0" headerRowDxfId="4" tableBorderDxfId="3">
  <autoFilter ref="B2:D20"/>
  <tableColumns count="3">
    <tableColumn id="1" name="D_DATE" dataDxfId="2"/>
    <tableColumn id="2" name="ACTUAL" dataDxfId="1"/>
    <tableColumn id="3" name="PLANNED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AD41"/>
  <sheetViews>
    <sheetView showGridLines="0" tabSelected="1" workbookViewId="0"/>
  </sheetViews>
  <sheetFormatPr defaultRowHeight="12.75" x14ac:dyDescent="0.2"/>
  <cols>
    <col min="1" max="1" width="9.7109375" customWidth="1"/>
    <col min="2" max="2" width="25.7109375" customWidth="1"/>
    <col min="3" max="30" width="11.7109375" customWidth="1"/>
  </cols>
  <sheetData>
    <row r="2" spans="1:27" x14ac:dyDescent="0.2">
      <c r="B2" s="44" t="s">
        <v>0</v>
      </c>
      <c r="C2" s="44"/>
      <c r="D2" s="44"/>
      <c r="E2" s="44"/>
      <c r="F2" s="44"/>
      <c r="G2" s="44"/>
      <c r="H2" s="44"/>
      <c r="K2" s="43">
        <v>43307.866666666669</v>
      </c>
      <c r="L2" s="43"/>
      <c r="M2" s="43"/>
      <c r="N2" s="43"/>
      <c r="O2" s="43"/>
    </row>
    <row r="3" spans="1:27" x14ac:dyDescent="0.2">
      <c r="B3" s="44"/>
      <c r="C3" s="44"/>
      <c r="D3" s="44"/>
      <c r="E3" s="44"/>
      <c r="F3" s="44"/>
      <c r="G3" s="44"/>
      <c r="H3" s="44"/>
    </row>
    <row r="5" spans="1:27" x14ac:dyDescent="0.2">
      <c r="B5" s="1" t="s">
        <v>1</v>
      </c>
      <c r="C5" s="45">
        <v>43307</v>
      </c>
      <c r="D5" s="45"/>
      <c r="E5" s="45"/>
    </row>
    <row r="6" spans="1:27" x14ac:dyDescent="0.2">
      <c r="B6" s="1" t="s">
        <v>2</v>
      </c>
      <c r="C6" s="45">
        <v>43308</v>
      </c>
      <c r="D6" s="45"/>
      <c r="E6" s="45"/>
    </row>
    <row r="8" spans="1:27" x14ac:dyDescent="0.2">
      <c r="B8" s="2" t="s">
        <v>3</v>
      </c>
      <c r="C8" s="42">
        <v>43298</v>
      </c>
      <c r="D8" s="42"/>
      <c r="E8" s="42"/>
      <c r="F8" s="42"/>
    </row>
    <row r="9" spans="1:27" x14ac:dyDescent="0.2">
      <c r="B9" s="2" t="s">
        <v>4</v>
      </c>
      <c r="C9" s="42">
        <v>43315</v>
      </c>
      <c r="D9" s="42"/>
      <c r="E9" s="42"/>
      <c r="F9" s="42"/>
    </row>
    <row r="12" spans="1:27" ht="27" customHeight="1" x14ac:dyDescent="0.2">
      <c r="A12" s="29"/>
      <c r="B12" s="17"/>
      <c r="C12" s="18"/>
      <c r="D12" s="18"/>
      <c r="E12" s="46" t="s">
        <v>62</v>
      </c>
      <c r="F12" s="48"/>
      <c r="G12" s="18"/>
      <c r="H12" s="46" t="s">
        <v>60</v>
      </c>
      <c r="I12" s="48"/>
      <c r="J12" s="18"/>
      <c r="K12" s="46" t="s">
        <v>58</v>
      </c>
      <c r="L12" s="47"/>
      <c r="M12" s="47"/>
      <c r="N12" s="47"/>
      <c r="O12" s="47"/>
      <c r="P12" s="48"/>
      <c r="Q12" s="46" t="s">
        <v>59</v>
      </c>
      <c r="R12" s="47"/>
      <c r="S12" s="47"/>
      <c r="T12" s="47"/>
      <c r="U12" s="47"/>
      <c r="V12" s="48"/>
      <c r="W12" s="46"/>
      <c r="X12" s="48"/>
      <c r="Y12" s="46" t="s">
        <v>61</v>
      </c>
      <c r="Z12" s="48"/>
      <c r="AA12" s="18"/>
    </row>
    <row r="13" spans="1:27" ht="50.1" customHeight="1" x14ac:dyDescent="0.2">
      <c r="A13" s="29" t="s">
        <v>5</v>
      </c>
      <c r="B13" s="19" t="s">
        <v>6</v>
      </c>
      <c r="C13" s="16" t="s">
        <v>7</v>
      </c>
      <c r="D13" s="16" t="s">
        <v>8</v>
      </c>
      <c r="E13" s="16" t="s">
        <v>9</v>
      </c>
      <c r="F13" s="16" t="s">
        <v>10</v>
      </c>
      <c r="G13" s="16" t="s">
        <v>11</v>
      </c>
      <c r="H13" s="16" t="s">
        <v>12</v>
      </c>
      <c r="I13" s="16" t="s">
        <v>13</v>
      </c>
      <c r="J13" s="16" t="s">
        <v>14</v>
      </c>
      <c r="K13" s="49" t="s">
        <v>15</v>
      </c>
      <c r="L13" s="48"/>
      <c r="M13" s="49" t="s">
        <v>16</v>
      </c>
      <c r="N13" s="48"/>
      <c r="O13" s="49" t="s">
        <v>17</v>
      </c>
      <c r="P13" s="48"/>
      <c r="Q13" s="49" t="s">
        <v>18</v>
      </c>
      <c r="R13" s="48"/>
      <c r="S13" s="49" t="s">
        <v>19</v>
      </c>
      <c r="T13" s="48"/>
      <c r="U13" s="49" t="s">
        <v>20</v>
      </c>
      <c r="V13" s="48"/>
      <c r="W13" s="49" t="s">
        <v>21</v>
      </c>
      <c r="X13" s="48"/>
      <c r="Y13" s="16" t="s">
        <v>22</v>
      </c>
      <c r="Z13" s="16" t="s">
        <v>23</v>
      </c>
      <c r="AA13" s="16" t="s">
        <v>24</v>
      </c>
    </row>
    <row r="14" spans="1:27" ht="15" x14ac:dyDescent="0.2">
      <c r="A14" s="29">
        <v>11</v>
      </c>
      <c r="B14" s="20" t="s">
        <v>25</v>
      </c>
      <c r="C14" s="8" t="s">
        <v>26</v>
      </c>
      <c r="D14" s="8" t="s">
        <v>27</v>
      </c>
      <c r="E14" s="8" t="s">
        <v>28</v>
      </c>
      <c r="F14" s="8" t="s">
        <v>29</v>
      </c>
      <c r="G14" s="8" t="s">
        <v>30</v>
      </c>
      <c r="H14" s="8">
        <v>0</v>
      </c>
      <c r="I14" s="8">
        <v>11</v>
      </c>
      <c r="J14" s="8">
        <v>0</v>
      </c>
      <c r="K14" s="9">
        <v>3</v>
      </c>
      <c r="L14" s="10">
        <v>0.27300000000000002</v>
      </c>
      <c r="M14" s="9">
        <v>0</v>
      </c>
      <c r="N14" s="10">
        <f t="shared" ref="N14:N24" si="0">IF(A14&gt;0,M14/A14,0)</f>
        <v>0</v>
      </c>
      <c r="O14" s="9">
        <v>2</v>
      </c>
      <c r="P14" s="10">
        <v>0.182</v>
      </c>
      <c r="Q14" s="9">
        <v>9</v>
      </c>
      <c r="R14" s="10">
        <v>0.81799999999999995</v>
      </c>
      <c r="S14" s="9">
        <v>12</v>
      </c>
      <c r="T14" s="10">
        <f t="shared" ref="T14:T24" si="1">IF(A14&gt;0,S14/A14,0)</f>
        <v>1.0909090909090908</v>
      </c>
      <c r="U14" s="26">
        <f t="shared" ref="U14:U24" si="2">IF(Q14&gt;=1,S14/Q14,IF(Q14&gt;0,S14/1,0))</f>
        <v>1.3333333333333333</v>
      </c>
      <c r="V14" s="24" t="s">
        <v>31</v>
      </c>
      <c r="W14" s="9">
        <f t="shared" ref="W14:W24" si="3">X14*A14</f>
        <v>11</v>
      </c>
      <c r="X14" s="10">
        <v>1</v>
      </c>
      <c r="Y14" s="8">
        <v>0</v>
      </c>
      <c r="Z14" s="8" t="s">
        <v>32</v>
      </c>
      <c r="AA14" s="8">
        <v>0</v>
      </c>
    </row>
    <row r="15" spans="1:27" ht="15" x14ac:dyDescent="0.2">
      <c r="A15" s="29">
        <v>10</v>
      </c>
      <c r="B15" s="20" t="s">
        <v>33</v>
      </c>
      <c r="C15" s="8" t="s">
        <v>26</v>
      </c>
      <c r="D15" s="8" t="s">
        <v>27</v>
      </c>
      <c r="E15" s="8" t="s">
        <v>28</v>
      </c>
      <c r="F15" s="8" t="s">
        <v>29</v>
      </c>
      <c r="G15" s="8" t="s">
        <v>30</v>
      </c>
      <c r="H15" s="8">
        <v>0</v>
      </c>
      <c r="I15" s="8">
        <v>10</v>
      </c>
      <c r="J15" s="8">
        <v>0</v>
      </c>
      <c r="K15" s="9">
        <v>1</v>
      </c>
      <c r="L15" s="10">
        <v>0.1</v>
      </c>
      <c r="M15" s="9">
        <v>0</v>
      </c>
      <c r="N15" s="10">
        <f t="shared" si="0"/>
        <v>0</v>
      </c>
      <c r="O15" s="9">
        <v>2</v>
      </c>
      <c r="P15" s="10">
        <v>0.2</v>
      </c>
      <c r="Q15" s="9">
        <v>8</v>
      </c>
      <c r="R15" s="10">
        <v>0.8</v>
      </c>
      <c r="S15" s="9">
        <v>10</v>
      </c>
      <c r="T15" s="10">
        <f t="shared" si="1"/>
        <v>1</v>
      </c>
      <c r="U15" s="26">
        <f t="shared" si="2"/>
        <v>1.25</v>
      </c>
      <c r="V15" s="24" t="s">
        <v>31</v>
      </c>
      <c r="W15" s="9">
        <f t="shared" si="3"/>
        <v>10</v>
      </c>
      <c r="X15" s="10">
        <v>1</v>
      </c>
      <c r="Y15" s="8">
        <v>0</v>
      </c>
      <c r="Z15" s="8" t="s">
        <v>34</v>
      </c>
      <c r="AA15" s="8">
        <v>0</v>
      </c>
    </row>
    <row r="16" spans="1:27" ht="15" x14ac:dyDescent="0.2">
      <c r="A16" s="29">
        <v>12</v>
      </c>
      <c r="B16" s="20" t="s">
        <v>35</v>
      </c>
      <c r="C16" s="8" t="s">
        <v>26</v>
      </c>
      <c r="D16" s="8" t="s">
        <v>27</v>
      </c>
      <c r="E16" s="8" t="s">
        <v>28</v>
      </c>
      <c r="F16" s="8" t="s">
        <v>29</v>
      </c>
      <c r="G16" s="8" t="s">
        <v>30</v>
      </c>
      <c r="H16" s="8">
        <v>0</v>
      </c>
      <c r="I16" s="8">
        <v>12</v>
      </c>
      <c r="J16" s="8">
        <v>0</v>
      </c>
      <c r="K16" s="9">
        <v>3</v>
      </c>
      <c r="L16" s="10">
        <v>0.25</v>
      </c>
      <c r="M16" s="9">
        <v>0</v>
      </c>
      <c r="N16" s="10">
        <f t="shared" si="0"/>
        <v>0</v>
      </c>
      <c r="O16" s="9">
        <v>2</v>
      </c>
      <c r="P16" s="10">
        <v>0.16700000000000001</v>
      </c>
      <c r="Q16" s="9">
        <v>10</v>
      </c>
      <c r="R16" s="10">
        <v>0.83299999999999996</v>
      </c>
      <c r="S16" s="9">
        <v>12</v>
      </c>
      <c r="T16" s="10">
        <f t="shared" si="1"/>
        <v>1</v>
      </c>
      <c r="U16" s="26">
        <f t="shared" si="2"/>
        <v>1.2</v>
      </c>
      <c r="V16" s="24" t="s">
        <v>31</v>
      </c>
      <c r="W16" s="9">
        <f t="shared" si="3"/>
        <v>12</v>
      </c>
      <c r="X16" s="10">
        <v>1</v>
      </c>
      <c r="Y16" s="8">
        <v>0</v>
      </c>
      <c r="Z16" s="8" t="s">
        <v>32</v>
      </c>
      <c r="AA16" s="8">
        <v>0</v>
      </c>
    </row>
    <row r="17" spans="1:30" ht="15" x14ac:dyDescent="0.2">
      <c r="A17" s="29">
        <v>16</v>
      </c>
      <c r="B17" s="20" t="s">
        <v>36</v>
      </c>
      <c r="C17" s="8" t="s">
        <v>26</v>
      </c>
      <c r="D17" s="8" t="s">
        <v>27</v>
      </c>
      <c r="E17" s="8" t="s">
        <v>28</v>
      </c>
      <c r="F17" s="8" t="s">
        <v>29</v>
      </c>
      <c r="G17" s="8" t="s">
        <v>30</v>
      </c>
      <c r="H17" s="8">
        <v>0</v>
      </c>
      <c r="I17" s="8">
        <v>16</v>
      </c>
      <c r="J17" s="8">
        <v>15</v>
      </c>
      <c r="K17" s="9">
        <v>3</v>
      </c>
      <c r="L17" s="10">
        <v>0.187</v>
      </c>
      <c r="M17" s="9">
        <v>0</v>
      </c>
      <c r="N17" s="10">
        <f t="shared" si="0"/>
        <v>0</v>
      </c>
      <c r="O17" s="9">
        <v>3</v>
      </c>
      <c r="P17" s="10">
        <v>0.188</v>
      </c>
      <c r="Q17" s="9">
        <v>13</v>
      </c>
      <c r="R17" s="10">
        <v>0.81200000000000006</v>
      </c>
      <c r="S17" s="9">
        <v>1</v>
      </c>
      <c r="T17" s="10">
        <f t="shared" si="1"/>
        <v>6.25E-2</v>
      </c>
      <c r="U17" s="26">
        <f t="shared" si="2"/>
        <v>7.6923076923076927E-2</v>
      </c>
      <c r="V17" s="24" t="s">
        <v>37</v>
      </c>
      <c r="W17" s="9">
        <f t="shared" si="3"/>
        <v>16</v>
      </c>
      <c r="X17" s="10">
        <v>1</v>
      </c>
      <c r="Y17" s="8">
        <v>8</v>
      </c>
      <c r="Z17" s="8" t="s">
        <v>38</v>
      </c>
      <c r="AA17" s="8">
        <v>0</v>
      </c>
    </row>
    <row r="18" spans="1:30" ht="15" x14ac:dyDescent="0.2">
      <c r="A18" s="29">
        <v>55</v>
      </c>
      <c r="B18" s="20" t="s">
        <v>39</v>
      </c>
      <c r="C18" s="8" t="s">
        <v>26</v>
      </c>
      <c r="D18" s="8" t="s">
        <v>27</v>
      </c>
      <c r="E18" s="8" t="s">
        <v>40</v>
      </c>
      <c r="F18" s="8" t="s">
        <v>41</v>
      </c>
      <c r="G18" s="8" t="s">
        <v>30</v>
      </c>
      <c r="H18" s="8">
        <v>0</v>
      </c>
      <c r="I18" s="8">
        <v>55</v>
      </c>
      <c r="J18" s="8">
        <v>52</v>
      </c>
      <c r="K18" s="9">
        <v>0</v>
      </c>
      <c r="L18" s="10">
        <v>0</v>
      </c>
      <c r="M18" s="9">
        <v>0</v>
      </c>
      <c r="N18" s="10">
        <f t="shared" si="0"/>
        <v>0</v>
      </c>
      <c r="O18" s="9">
        <v>0</v>
      </c>
      <c r="P18" s="10">
        <v>0</v>
      </c>
      <c r="Q18" s="9">
        <v>0</v>
      </c>
      <c r="R18" s="10">
        <v>0</v>
      </c>
      <c r="S18" s="9">
        <v>3</v>
      </c>
      <c r="T18" s="10">
        <f t="shared" si="1"/>
        <v>5.4545454545454543E-2</v>
      </c>
      <c r="U18" s="26">
        <f t="shared" si="2"/>
        <v>0</v>
      </c>
      <c r="V18" s="24" t="s">
        <v>31</v>
      </c>
      <c r="W18" s="9">
        <f t="shared" si="3"/>
        <v>0</v>
      </c>
      <c r="X18" s="10">
        <v>0</v>
      </c>
      <c r="Y18" s="8">
        <v>26</v>
      </c>
      <c r="Z18" s="8" t="s">
        <v>42</v>
      </c>
      <c r="AA18" s="8">
        <v>0</v>
      </c>
    </row>
    <row r="19" spans="1:30" ht="15" x14ac:dyDescent="0.2">
      <c r="A19" s="29">
        <v>18</v>
      </c>
      <c r="B19" s="20" t="s">
        <v>43</v>
      </c>
      <c r="C19" s="8" t="s">
        <v>26</v>
      </c>
      <c r="D19" s="8" t="s">
        <v>27</v>
      </c>
      <c r="E19" s="8" t="s">
        <v>40</v>
      </c>
      <c r="F19" s="8" t="s">
        <v>41</v>
      </c>
      <c r="G19" s="8" t="s">
        <v>30</v>
      </c>
      <c r="H19" s="8">
        <v>0</v>
      </c>
      <c r="I19" s="8">
        <v>18</v>
      </c>
      <c r="J19" s="8">
        <v>17</v>
      </c>
      <c r="K19" s="9">
        <v>0</v>
      </c>
      <c r="L19" s="10">
        <v>0</v>
      </c>
      <c r="M19" s="9">
        <v>0</v>
      </c>
      <c r="N19" s="10">
        <f t="shared" si="0"/>
        <v>0</v>
      </c>
      <c r="O19" s="9">
        <v>0</v>
      </c>
      <c r="P19" s="10">
        <v>0</v>
      </c>
      <c r="Q19" s="9">
        <v>0</v>
      </c>
      <c r="R19" s="10">
        <v>0</v>
      </c>
      <c r="S19" s="9">
        <v>1</v>
      </c>
      <c r="T19" s="10">
        <f t="shared" si="1"/>
        <v>5.5555555555555552E-2</v>
      </c>
      <c r="U19" s="26">
        <f t="shared" si="2"/>
        <v>0</v>
      </c>
      <c r="V19" s="24" t="s">
        <v>31</v>
      </c>
      <c r="W19" s="9">
        <f t="shared" si="3"/>
        <v>0</v>
      </c>
      <c r="X19" s="10">
        <v>0</v>
      </c>
      <c r="Y19" s="8">
        <v>9</v>
      </c>
      <c r="Z19" s="8" t="s">
        <v>44</v>
      </c>
      <c r="AA19" s="8">
        <v>0</v>
      </c>
    </row>
    <row r="20" spans="1:30" ht="15" x14ac:dyDescent="0.2">
      <c r="A20" s="29">
        <v>11</v>
      </c>
      <c r="B20" s="20" t="s">
        <v>45</v>
      </c>
      <c r="C20" s="8" t="s">
        <v>26</v>
      </c>
      <c r="D20" s="8" t="s">
        <v>27</v>
      </c>
      <c r="E20" s="8" t="s">
        <v>40</v>
      </c>
      <c r="F20" s="8" t="s">
        <v>41</v>
      </c>
      <c r="G20" s="8" t="s">
        <v>30</v>
      </c>
      <c r="H20" s="8">
        <v>0</v>
      </c>
      <c r="I20" s="8">
        <v>11</v>
      </c>
      <c r="J20" s="8">
        <v>6</v>
      </c>
      <c r="K20" s="9">
        <v>0</v>
      </c>
      <c r="L20" s="10">
        <v>0</v>
      </c>
      <c r="M20" s="9">
        <v>0</v>
      </c>
      <c r="N20" s="10">
        <f t="shared" si="0"/>
        <v>0</v>
      </c>
      <c r="O20" s="9">
        <v>0</v>
      </c>
      <c r="P20" s="10">
        <v>0</v>
      </c>
      <c r="Q20" s="9">
        <v>0</v>
      </c>
      <c r="R20" s="10">
        <v>0</v>
      </c>
      <c r="S20" s="9">
        <v>5</v>
      </c>
      <c r="T20" s="10">
        <f t="shared" si="1"/>
        <v>0.45454545454545453</v>
      </c>
      <c r="U20" s="26">
        <f t="shared" si="2"/>
        <v>0</v>
      </c>
      <c r="V20" s="24" t="s">
        <v>31</v>
      </c>
      <c r="W20" s="9">
        <f t="shared" si="3"/>
        <v>0</v>
      </c>
      <c r="X20" s="10">
        <v>0</v>
      </c>
      <c r="Y20" s="8">
        <v>2</v>
      </c>
      <c r="Z20" s="8" t="s">
        <v>46</v>
      </c>
      <c r="AA20" s="8">
        <v>0</v>
      </c>
    </row>
    <row r="21" spans="1:30" ht="15" x14ac:dyDescent="0.2">
      <c r="A21" s="29">
        <v>8</v>
      </c>
      <c r="B21" s="20" t="s">
        <v>47</v>
      </c>
      <c r="C21" s="8" t="s">
        <v>26</v>
      </c>
      <c r="D21" s="8" t="s">
        <v>27</v>
      </c>
      <c r="E21" s="8" t="s">
        <v>40</v>
      </c>
      <c r="F21" s="8" t="s">
        <v>41</v>
      </c>
      <c r="G21" s="8" t="s">
        <v>30</v>
      </c>
      <c r="H21" s="8">
        <v>0</v>
      </c>
      <c r="I21" s="8">
        <v>8</v>
      </c>
      <c r="J21" s="8">
        <v>7</v>
      </c>
      <c r="K21" s="9">
        <v>0</v>
      </c>
      <c r="L21" s="10">
        <v>0</v>
      </c>
      <c r="M21" s="9">
        <v>0</v>
      </c>
      <c r="N21" s="10">
        <f t="shared" si="0"/>
        <v>0</v>
      </c>
      <c r="O21" s="9">
        <v>0</v>
      </c>
      <c r="P21" s="10">
        <v>0</v>
      </c>
      <c r="Q21" s="9">
        <v>0</v>
      </c>
      <c r="R21" s="10">
        <v>0</v>
      </c>
      <c r="S21" s="9">
        <v>1</v>
      </c>
      <c r="T21" s="10">
        <f t="shared" si="1"/>
        <v>0.125</v>
      </c>
      <c r="U21" s="26">
        <f t="shared" si="2"/>
        <v>0</v>
      </c>
      <c r="V21" s="24" t="s">
        <v>31</v>
      </c>
      <c r="W21" s="9">
        <f t="shared" si="3"/>
        <v>0</v>
      </c>
      <c r="X21" s="10">
        <v>0</v>
      </c>
      <c r="Y21" s="8">
        <v>4</v>
      </c>
      <c r="Z21" s="8" t="s">
        <v>48</v>
      </c>
      <c r="AA21" s="8">
        <v>0</v>
      </c>
    </row>
    <row r="22" spans="1:30" ht="15" x14ac:dyDescent="0.2">
      <c r="A22" s="29">
        <v>8</v>
      </c>
      <c r="B22" s="20" t="s">
        <v>49</v>
      </c>
      <c r="C22" s="8" t="s">
        <v>26</v>
      </c>
      <c r="D22" s="8" t="s">
        <v>27</v>
      </c>
      <c r="E22" s="8" t="s">
        <v>40</v>
      </c>
      <c r="F22" s="8" t="s">
        <v>41</v>
      </c>
      <c r="G22" s="8" t="s">
        <v>30</v>
      </c>
      <c r="H22" s="8">
        <v>0</v>
      </c>
      <c r="I22" s="8">
        <v>8</v>
      </c>
      <c r="J22" s="8">
        <v>8</v>
      </c>
      <c r="K22" s="9">
        <v>0</v>
      </c>
      <c r="L22" s="10">
        <v>0</v>
      </c>
      <c r="M22" s="9">
        <v>0</v>
      </c>
      <c r="N22" s="10">
        <f t="shared" si="0"/>
        <v>0</v>
      </c>
      <c r="O22" s="9">
        <v>0</v>
      </c>
      <c r="P22" s="10">
        <v>0</v>
      </c>
      <c r="Q22" s="9">
        <v>0</v>
      </c>
      <c r="R22" s="10">
        <v>0</v>
      </c>
      <c r="S22" s="9">
        <v>0</v>
      </c>
      <c r="T22" s="10">
        <f t="shared" si="1"/>
        <v>0</v>
      </c>
      <c r="U22" s="26">
        <f t="shared" si="2"/>
        <v>0</v>
      </c>
      <c r="V22" s="24" t="s">
        <v>50</v>
      </c>
      <c r="W22" s="9">
        <f t="shared" si="3"/>
        <v>0</v>
      </c>
      <c r="X22" s="10">
        <v>0</v>
      </c>
      <c r="Y22" s="8">
        <v>4</v>
      </c>
      <c r="Z22" s="8" t="s">
        <v>51</v>
      </c>
      <c r="AA22" s="8">
        <v>0</v>
      </c>
    </row>
    <row r="23" spans="1:30" ht="15" x14ac:dyDescent="0.2">
      <c r="A23" s="29">
        <v>6</v>
      </c>
      <c r="B23" s="20" t="s">
        <v>52</v>
      </c>
      <c r="C23" s="8" t="s">
        <v>26</v>
      </c>
      <c r="D23" s="8" t="s">
        <v>27</v>
      </c>
      <c r="E23" s="8" t="s">
        <v>40</v>
      </c>
      <c r="F23" s="8" t="s">
        <v>41</v>
      </c>
      <c r="G23" s="8" t="s">
        <v>30</v>
      </c>
      <c r="H23" s="8">
        <v>0</v>
      </c>
      <c r="I23" s="8">
        <v>6</v>
      </c>
      <c r="J23" s="8">
        <v>6</v>
      </c>
      <c r="K23" s="9">
        <v>0</v>
      </c>
      <c r="L23" s="10">
        <v>0</v>
      </c>
      <c r="M23" s="9">
        <v>0</v>
      </c>
      <c r="N23" s="10">
        <f t="shared" si="0"/>
        <v>0</v>
      </c>
      <c r="O23" s="9">
        <v>0</v>
      </c>
      <c r="P23" s="10">
        <v>0</v>
      </c>
      <c r="Q23" s="9">
        <v>0</v>
      </c>
      <c r="R23" s="10">
        <v>0</v>
      </c>
      <c r="S23" s="9">
        <v>0</v>
      </c>
      <c r="T23" s="10">
        <f t="shared" si="1"/>
        <v>0</v>
      </c>
      <c r="U23" s="26">
        <f t="shared" si="2"/>
        <v>0</v>
      </c>
      <c r="V23" s="24" t="s">
        <v>50</v>
      </c>
      <c r="W23" s="9">
        <f t="shared" si="3"/>
        <v>0</v>
      </c>
      <c r="X23" s="10">
        <v>0</v>
      </c>
      <c r="Y23" s="8">
        <v>4</v>
      </c>
      <c r="Z23" s="8" t="s">
        <v>51</v>
      </c>
      <c r="AA23" s="8">
        <v>0</v>
      </c>
    </row>
    <row r="24" spans="1:30" ht="15" x14ac:dyDescent="0.2">
      <c r="A24" s="29">
        <v>4</v>
      </c>
      <c r="B24" s="21" t="s">
        <v>53</v>
      </c>
      <c r="C24" s="5" t="s">
        <v>26</v>
      </c>
      <c r="D24" s="5" t="s">
        <v>27</v>
      </c>
      <c r="E24" s="5" t="s">
        <v>54</v>
      </c>
      <c r="F24" s="5" t="s">
        <v>55</v>
      </c>
      <c r="G24" s="5" t="s">
        <v>30</v>
      </c>
      <c r="H24" s="5">
        <v>0</v>
      </c>
      <c r="I24" s="5">
        <v>4</v>
      </c>
      <c r="J24" s="5">
        <v>0</v>
      </c>
      <c r="K24" s="6">
        <v>0</v>
      </c>
      <c r="L24" s="7">
        <v>0</v>
      </c>
      <c r="M24" s="6">
        <v>0</v>
      </c>
      <c r="N24" s="7">
        <f t="shared" si="0"/>
        <v>0</v>
      </c>
      <c r="O24" s="6">
        <v>0</v>
      </c>
      <c r="P24" s="7">
        <v>0</v>
      </c>
      <c r="Q24" s="6">
        <v>4</v>
      </c>
      <c r="R24" s="7">
        <v>1</v>
      </c>
      <c r="S24" s="6">
        <v>4</v>
      </c>
      <c r="T24" s="7">
        <f t="shared" si="1"/>
        <v>1</v>
      </c>
      <c r="U24" s="27">
        <f t="shared" si="2"/>
        <v>1</v>
      </c>
      <c r="V24" s="25" t="s">
        <v>31</v>
      </c>
      <c r="W24" s="6">
        <f t="shared" si="3"/>
        <v>4</v>
      </c>
      <c r="X24" s="7">
        <v>1</v>
      </c>
      <c r="Y24" s="5">
        <v>0</v>
      </c>
      <c r="Z24" s="5" t="s">
        <v>56</v>
      </c>
      <c r="AA24" s="5">
        <v>0</v>
      </c>
    </row>
    <row r="25" spans="1:30" ht="18" customHeight="1" x14ac:dyDescent="0.2">
      <c r="A25" s="29">
        <f>SUM(A14:A24)</f>
        <v>159</v>
      </c>
      <c r="B25" s="22" t="s">
        <v>57</v>
      </c>
      <c r="C25" s="12" t="s">
        <v>26</v>
      </c>
      <c r="D25" s="12" t="s">
        <v>26</v>
      </c>
      <c r="E25" s="12" t="s">
        <v>54</v>
      </c>
      <c r="F25" s="12" t="s">
        <v>41</v>
      </c>
      <c r="G25" s="12" t="s">
        <v>26</v>
      </c>
      <c r="H25" s="12">
        <f>SUM(H14:H24)</f>
        <v>0</v>
      </c>
      <c r="I25" s="12">
        <f>SUM(I14:I24)</f>
        <v>159</v>
      </c>
      <c r="J25" s="12">
        <f>SUM(J14:J24)</f>
        <v>111</v>
      </c>
      <c r="K25" s="13">
        <f>SUM(K14:K24)</f>
        <v>10</v>
      </c>
      <c r="L25" s="14">
        <f>IF(A25&gt;0,K25/A25,0)</f>
        <v>6.2893081761006289E-2</v>
      </c>
      <c r="M25" s="13">
        <f>SUM(M14:M24)</f>
        <v>0</v>
      </c>
      <c r="N25" s="14">
        <f t="array" ref="N25">IF(A25&gt;0,SUM(N14:N24*A14:A24)/A25,0)</f>
        <v>0</v>
      </c>
      <c r="O25" s="13">
        <f>SUM(O14:O24)</f>
        <v>9</v>
      </c>
      <c r="P25" s="14">
        <f>IF(A25&gt;0,O25/A25,0)</f>
        <v>5.6603773584905662E-2</v>
      </c>
      <c r="Q25" s="13">
        <f>SUM(Q14:Q24)</f>
        <v>44</v>
      </c>
      <c r="R25" s="14">
        <f>IF(A25&gt;0,Q25/A25,0)</f>
        <v>0.27672955974842767</v>
      </c>
      <c r="S25" s="13">
        <f>SUM(S14:S24)</f>
        <v>49</v>
      </c>
      <c r="T25" s="14">
        <f t="array" ref="T25">IF(A25&gt;0,SUM(T14:T24*A14:A24)/A25,0)</f>
        <v>0.3081761006289308</v>
      </c>
      <c r="U25" s="28">
        <f t="array" ref="U25">IF(Q25&gt;0,(SUM(U14:U24*Q14:Q24)+SUMIF(Q14:Q24,0,S14:S24))/Q25,0)</f>
        <v>1.1136363636363635</v>
      </c>
      <c r="V25" s="23" t="str">
        <f>IF(T25&gt;=R25, IF(S25&gt;0,"J","K"),(IF(T25&gt;=0.8*R25,"K","L")))</f>
        <v>J</v>
      </c>
      <c r="W25" s="13">
        <f>SUM(W14:W24)</f>
        <v>53</v>
      </c>
      <c r="X25" s="14">
        <f>IF(A25&gt;0,W25/A25,0)</f>
        <v>0.33333333333333331</v>
      </c>
      <c r="Y25" s="12">
        <f>SUM(Y14:Y24)</f>
        <v>57</v>
      </c>
      <c r="Z25" s="12" t="s">
        <v>26</v>
      </c>
      <c r="AA25" s="12">
        <f>SUM(AA14:AA24)</f>
        <v>0</v>
      </c>
    </row>
    <row r="28" spans="1:30" ht="27" customHeight="1" x14ac:dyDescent="0.2">
      <c r="A28" s="29"/>
      <c r="B28" s="17"/>
      <c r="C28" s="46" t="s">
        <v>91</v>
      </c>
      <c r="D28" s="47"/>
      <c r="E28" s="47"/>
      <c r="F28" s="48"/>
      <c r="G28" s="46" t="s">
        <v>92</v>
      </c>
      <c r="H28" s="47"/>
      <c r="I28" s="48"/>
      <c r="J28" s="46" t="s">
        <v>93</v>
      </c>
      <c r="K28" s="47"/>
      <c r="L28" s="48"/>
      <c r="M28" s="46" t="s">
        <v>94</v>
      </c>
      <c r="N28" s="47"/>
      <c r="O28" s="47"/>
      <c r="P28" s="48"/>
      <c r="Q28" s="46" t="s">
        <v>95</v>
      </c>
      <c r="R28" s="47"/>
      <c r="S28" s="47"/>
      <c r="T28" s="48"/>
      <c r="U28" s="46" t="s">
        <v>96</v>
      </c>
      <c r="V28" s="47"/>
      <c r="W28" s="47"/>
      <c r="X28" s="47"/>
      <c r="Y28" s="47"/>
      <c r="Z28" s="47"/>
      <c r="AA28" s="47"/>
      <c r="AB28" s="47"/>
      <c r="AC28" s="48"/>
      <c r="AD28" s="18" t="s">
        <v>90</v>
      </c>
    </row>
    <row r="29" spans="1:30" ht="50.1" customHeight="1" x14ac:dyDescent="0.2">
      <c r="A29" s="29" t="s">
        <v>5</v>
      </c>
      <c r="B29" s="19" t="s">
        <v>6</v>
      </c>
      <c r="C29" s="16" t="s">
        <v>63</v>
      </c>
      <c r="D29" s="16" t="s">
        <v>64</v>
      </c>
      <c r="E29" s="16" t="s">
        <v>65</v>
      </c>
      <c r="F29" s="16" t="s">
        <v>66</v>
      </c>
      <c r="G29" s="16" t="s">
        <v>67</v>
      </c>
      <c r="H29" s="16" t="s">
        <v>68</v>
      </c>
      <c r="I29" s="16" t="s">
        <v>69</v>
      </c>
      <c r="J29" s="16" t="s">
        <v>70</v>
      </c>
      <c r="K29" s="16" t="s">
        <v>71</v>
      </c>
      <c r="L29" s="16" t="s">
        <v>72</v>
      </c>
      <c r="M29" s="16" t="s">
        <v>73</v>
      </c>
      <c r="N29" s="16" t="s">
        <v>74</v>
      </c>
      <c r="O29" s="16" t="s">
        <v>75</v>
      </c>
      <c r="P29" s="16" t="s">
        <v>76</v>
      </c>
      <c r="Q29" s="16" t="s">
        <v>77</v>
      </c>
      <c r="R29" s="16" t="s">
        <v>78</v>
      </c>
      <c r="S29" s="16" t="s">
        <v>79</v>
      </c>
      <c r="T29" s="16" t="s">
        <v>80</v>
      </c>
      <c r="U29" s="16" t="s">
        <v>81</v>
      </c>
      <c r="V29" s="16" t="s">
        <v>82</v>
      </c>
      <c r="W29" s="16" t="s">
        <v>83</v>
      </c>
      <c r="X29" s="16" t="s">
        <v>84</v>
      </c>
      <c r="Y29" s="16" t="s">
        <v>85</v>
      </c>
      <c r="Z29" s="16" t="s">
        <v>86</v>
      </c>
      <c r="AA29" s="16" t="s">
        <v>87</v>
      </c>
      <c r="AB29" s="16" t="s">
        <v>88</v>
      </c>
      <c r="AC29" s="16" t="s">
        <v>89</v>
      </c>
      <c r="AD29" s="16" t="s">
        <v>90</v>
      </c>
    </row>
    <row r="30" spans="1:30" ht="15" x14ac:dyDescent="0.2">
      <c r="A30" s="29"/>
      <c r="B30" s="20" t="s">
        <v>25</v>
      </c>
      <c r="C30" s="9">
        <v>11</v>
      </c>
      <c r="D30" s="26">
        <v>1</v>
      </c>
      <c r="E30" s="26">
        <v>0.91666666666666696</v>
      </c>
      <c r="F30" s="24" t="s">
        <v>50</v>
      </c>
      <c r="G30" s="9">
        <v>1</v>
      </c>
      <c r="H30" s="26">
        <v>9.0909090909090898E-2</v>
      </c>
      <c r="I30" s="26">
        <v>8.3333333333333301E-2</v>
      </c>
      <c r="J30" s="9">
        <v>0</v>
      </c>
      <c r="K30" s="9">
        <v>0</v>
      </c>
      <c r="L30" s="9">
        <v>0</v>
      </c>
      <c r="M30" s="9">
        <v>0</v>
      </c>
      <c r="N30" s="9">
        <v>1</v>
      </c>
      <c r="O30" s="9">
        <v>1</v>
      </c>
      <c r="P30" s="9">
        <v>5150</v>
      </c>
      <c r="Q30" s="9">
        <v>0</v>
      </c>
      <c r="R30" s="9">
        <v>0</v>
      </c>
      <c r="S30" s="9">
        <v>0</v>
      </c>
      <c r="T30" s="9" t="s">
        <v>26</v>
      </c>
      <c r="U30" s="9">
        <v>0</v>
      </c>
      <c r="V30" s="9">
        <v>1</v>
      </c>
      <c r="W30" s="9">
        <v>1</v>
      </c>
      <c r="X30" s="9">
        <v>0</v>
      </c>
      <c r="Y30" s="9">
        <v>0</v>
      </c>
      <c r="Z30" s="9">
        <v>1</v>
      </c>
      <c r="AA30" s="9">
        <v>0</v>
      </c>
      <c r="AB30" s="8">
        <v>0</v>
      </c>
      <c r="AC30" s="8">
        <v>0</v>
      </c>
      <c r="AD30" s="9">
        <v>0</v>
      </c>
    </row>
    <row r="31" spans="1:30" ht="15" x14ac:dyDescent="0.2">
      <c r="A31" s="29"/>
      <c r="B31" s="20" t="s">
        <v>33</v>
      </c>
      <c r="C31" s="9">
        <v>10</v>
      </c>
      <c r="D31" s="26">
        <v>1</v>
      </c>
      <c r="E31" s="26">
        <v>1</v>
      </c>
      <c r="F31" s="24" t="s">
        <v>31</v>
      </c>
      <c r="G31" s="9">
        <v>0</v>
      </c>
      <c r="H31" s="26">
        <v>0</v>
      </c>
      <c r="I31" s="26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 t="s">
        <v>26</v>
      </c>
      <c r="Q31" s="9">
        <v>0</v>
      </c>
      <c r="R31" s="9">
        <v>0</v>
      </c>
      <c r="S31" s="9">
        <v>0</v>
      </c>
      <c r="T31" s="9" t="s">
        <v>26</v>
      </c>
      <c r="U31" s="9">
        <v>0</v>
      </c>
      <c r="V31" s="9">
        <v>1</v>
      </c>
      <c r="W31" s="9">
        <v>1</v>
      </c>
      <c r="X31" s="9">
        <v>1</v>
      </c>
      <c r="Y31" s="9">
        <v>0</v>
      </c>
      <c r="Z31" s="9">
        <v>0</v>
      </c>
      <c r="AA31" s="9">
        <v>0</v>
      </c>
      <c r="AB31" s="8">
        <v>0</v>
      </c>
      <c r="AC31" s="8">
        <v>0</v>
      </c>
      <c r="AD31" s="9">
        <v>0</v>
      </c>
    </row>
    <row r="32" spans="1:30" ht="15" x14ac:dyDescent="0.2">
      <c r="A32" s="29"/>
      <c r="B32" s="20" t="s">
        <v>35</v>
      </c>
      <c r="C32" s="9">
        <v>12</v>
      </c>
      <c r="D32" s="26">
        <v>1</v>
      </c>
      <c r="E32" s="26">
        <v>1</v>
      </c>
      <c r="F32" s="24" t="s">
        <v>31</v>
      </c>
      <c r="G32" s="9">
        <v>0</v>
      </c>
      <c r="H32" s="26">
        <v>0</v>
      </c>
      <c r="I32" s="26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 t="s">
        <v>26</v>
      </c>
      <c r="Q32" s="9">
        <v>0</v>
      </c>
      <c r="R32" s="9">
        <v>0</v>
      </c>
      <c r="S32" s="9">
        <v>0</v>
      </c>
      <c r="T32" s="9" t="s">
        <v>26</v>
      </c>
      <c r="U32" s="9">
        <v>0</v>
      </c>
      <c r="V32" s="9">
        <v>1</v>
      </c>
      <c r="W32" s="9">
        <v>1</v>
      </c>
      <c r="X32" s="9">
        <v>1</v>
      </c>
      <c r="Y32" s="9">
        <v>0</v>
      </c>
      <c r="Z32" s="9">
        <v>0</v>
      </c>
      <c r="AA32" s="9">
        <v>0</v>
      </c>
      <c r="AB32" s="8">
        <v>0</v>
      </c>
      <c r="AC32" s="8">
        <v>0</v>
      </c>
      <c r="AD32" s="9">
        <v>0</v>
      </c>
    </row>
    <row r="33" spans="1:30" ht="15" x14ac:dyDescent="0.2">
      <c r="A33" s="29"/>
      <c r="B33" s="20" t="s">
        <v>36</v>
      </c>
      <c r="C33" s="9">
        <v>1</v>
      </c>
      <c r="D33" s="26">
        <v>6.25E-2</v>
      </c>
      <c r="E33" s="26">
        <v>1</v>
      </c>
      <c r="F33" s="24" t="s">
        <v>31</v>
      </c>
      <c r="G33" s="9">
        <v>0</v>
      </c>
      <c r="H33" s="26">
        <v>0</v>
      </c>
      <c r="I33" s="26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 t="s">
        <v>26</v>
      </c>
      <c r="Q33" s="9">
        <v>0</v>
      </c>
      <c r="R33" s="9">
        <v>0</v>
      </c>
      <c r="S33" s="9">
        <v>0</v>
      </c>
      <c r="T33" s="9" t="s">
        <v>26</v>
      </c>
      <c r="U33" s="9">
        <v>0</v>
      </c>
      <c r="V33" s="9">
        <v>1</v>
      </c>
      <c r="W33" s="9">
        <v>1</v>
      </c>
      <c r="X33" s="9">
        <v>0</v>
      </c>
      <c r="Y33" s="9">
        <v>0</v>
      </c>
      <c r="Z33" s="9">
        <v>1</v>
      </c>
      <c r="AA33" s="9">
        <v>0</v>
      </c>
      <c r="AB33" s="8">
        <v>0</v>
      </c>
      <c r="AC33" s="8">
        <v>0</v>
      </c>
      <c r="AD33" s="9">
        <v>0</v>
      </c>
    </row>
    <row r="34" spans="1:30" ht="15" x14ac:dyDescent="0.2">
      <c r="A34" s="29"/>
      <c r="B34" s="20" t="s">
        <v>39</v>
      </c>
      <c r="C34" s="9">
        <v>2</v>
      </c>
      <c r="D34" s="26">
        <v>3.6363636363636397E-2</v>
      </c>
      <c r="E34" s="26">
        <v>0.66666666666666696</v>
      </c>
      <c r="F34" s="24" t="s">
        <v>37</v>
      </c>
      <c r="G34" s="9">
        <v>1</v>
      </c>
      <c r="H34" s="26">
        <v>1.8181818181818198E-2</v>
      </c>
      <c r="I34" s="26">
        <v>0.33333333333333298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 t="s">
        <v>26</v>
      </c>
      <c r="Q34" s="9">
        <v>0</v>
      </c>
      <c r="R34" s="9">
        <v>1</v>
      </c>
      <c r="S34" s="9">
        <v>1</v>
      </c>
      <c r="T34" s="9">
        <v>5153</v>
      </c>
      <c r="U34" s="9">
        <v>0</v>
      </c>
      <c r="V34" s="9">
        <v>1</v>
      </c>
      <c r="W34" s="9">
        <v>1</v>
      </c>
      <c r="X34" s="9">
        <v>0</v>
      </c>
      <c r="Y34" s="9">
        <v>0</v>
      </c>
      <c r="Z34" s="9">
        <v>1</v>
      </c>
      <c r="AA34" s="9">
        <v>0</v>
      </c>
      <c r="AB34" s="8">
        <v>0</v>
      </c>
      <c r="AC34" s="8">
        <v>0</v>
      </c>
      <c r="AD34" s="9">
        <v>0</v>
      </c>
    </row>
    <row r="35" spans="1:30" ht="15" x14ac:dyDescent="0.2">
      <c r="A35" s="29"/>
      <c r="B35" s="20" t="s">
        <v>43</v>
      </c>
      <c r="C35" s="9">
        <v>1</v>
      </c>
      <c r="D35" s="26">
        <v>5.5555555555555601E-2</v>
      </c>
      <c r="E35" s="26">
        <v>1</v>
      </c>
      <c r="F35" s="24" t="s">
        <v>31</v>
      </c>
      <c r="G35" s="9">
        <v>0</v>
      </c>
      <c r="H35" s="26">
        <v>0</v>
      </c>
      <c r="I35" s="26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 t="s">
        <v>26</v>
      </c>
      <c r="Q35" s="9">
        <v>0</v>
      </c>
      <c r="R35" s="9">
        <v>0</v>
      </c>
      <c r="S35" s="9">
        <v>0</v>
      </c>
      <c r="T35" s="9" t="s">
        <v>26</v>
      </c>
      <c r="U35" s="9">
        <v>0</v>
      </c>
      <c r="V35" s="9">
        <v>1</v>
      </c>
      <c r="W35" s="9">
        <v>1</v>
      </c>
      <c r="X35" s="9">
        <v>0</v>
      </c>
      <c r="Y35" s="9">
        <v>0</v>
      </c>
      <c r="Z35" s="9">
        <v>1</v>
      </c>
      <c r="AA35" s="9">
        <v>0</v>
      </c>
      <c r="AB35" s="8">
        <v>0</v>
      </c>
      <c r="AC35" s="8">
        <v>0</v>
      </c>
      <c r="AD35" s="9">
        <v>0</v>
      </c>
    </row>
    <row r="36" spans="1:30" ht="15" x14ac:dyDescent="0.2">
      <c r="A36" s="29"/>
      <c r="B36" s="20" t="s">
        <v>45</v>
      </c>
      <c r="C36" s="9">
        <v>5</v>
      </c>
      <c r="D36" s="26">
        <v>0.45454545454545497</v>
      </c>
      <c r="E36" s="26">
        <v>1</v>
      </c>
      <c r="F36" s="24" t="s">
        <v>31</v>
      </c>
      <c r="G36" s="9">
        <v>0</v>
      </c>
      <c r="H36" s="26">
        <v>0</v>
      </c>
      <c r="I36" s="26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 t="s">
        <v>26</v>
      </c>
      <c r="Q36" s="9">
        <v>0</v>
      </c>
      <c r="R36" s="9">
        <v>0</v>
      </c>
      <c r="S36" s="9">
        <v>0</v>
      </c>
      <c r="T36" s="9" t="s">
        <v>26</v>
      </c>
      <c r="U36" s="9">
        <v>0</v>
      </c>
      <c r="V36" s="9">
        <v>1</v>
      </c>
      <c r="W36" s="9">
        <v>1</v>
      </c>
      <c r="X36" s="9">
        <v>0</v>
      </c>
      <c r="Y36" s="9">
        <v>0</v>
      </c>
      <c r="Z36" s="9">
        <v>1</v>
      </c>
      <c r="AA36" s="9">
        <v>0</v>
      </c>
      <c r="AB36" s="8">
        <v>0</v>
      </c>
      <c r="AC36" s="8">
        <v>0</v>
      </c>
      <c r="AD36" s="9">
        <v>0</v>
      </c>
    </row>
    <row r="37" spans="1:30" ht="15" x14ac:dyDescent="0.2">
      <c r="A37" s="29"/>
      <c r="B37" s="20" t="s">
        <v>47</v>
      </c>
      <c r="C37" s="9">
        <v>1</v>
      </c>
      <c r="D37" s="26">
        <v>0.125</v>
      </c>
      <c r="E37" s="26">
        <v>1</v>
      </c>
      <c r="F37" s="24" t="s">
        <v>31</v>
      </c>
      <c r="G37" s="9">
        <v>0</v>
      </c>
      <c r="H37" s="26">
        <v>0</v>
      </c>
      <c r="I37" s="26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 t="s">
        <v>26</v>
      </c>
      <c r="Q37" s="9">
        <v>0</v>
      </c>
      <c r="R37" s="9">
        <v>0</v>
      </c>
      <c r="S37" s="9">
        <v>0</v>
      </c>
      <c r="T37" s="9" t="s">
        <v>26</v>
      </c>
      <c r="U37" s="9">
        <v>0</v>
      </c>
      <c r="V37" s="9">
        <v>1</v>
      </c>
      <c r="W37" s="9">
        <v>1</v>
      </c>
      <c r="X37" s="9">
        <v>0</v>
      </c>
      <c r="Y37" s="9">
        <v>0</v>
      </c>
      <c r="Z37" s="9">
        <v>1</v>
      </c>
      <c r="AA37" s="9">
        <v>0</v>
      </c>
      <c r="AB37" s="8">
        <v>0</v>
      </c>
      <c r="AC37" s="8">
        <v>0</v>
      </c>
      <c r="AD37" s="9">
        <v>0</v>
      </c>
    </row>
    <row r="38" spans="1:30" ht="15" x14ac:dyDescent="0.2">
      <c r="A38" s="29"/>
      <c r="B38" s="20" t="s">
        <v>49</v>
      </c>
      <c r="C38" s="9">
        <v>0</v>
      </c>
      <c r="D38" s="26">
        <v>0</v>
      </c>
      <c r="E38" s="26">
        <v>0</v>
      </c>
      <c r="F38" s="24" t="s">
        <v>50</v>
      </c>
      <c r="G38" s="9">
        <v>0</v>
      </c>
      <c r="H38" s="26">
        <v>0</v>
      </c>
      <c r="I38" s="26">
        <v>0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  <c r="P38" s="9" t="s">
        <v>26</v>
      </c>
      <c r="Q38" s="9">
        <v>0</v>
      </c>
      <c r="R38" s="9">
        <v>0</v>
      </c>
      <c r="S38" s="9">
        <v>0</v>
      </c>
      <c r="T38" s="9" t="s">
        <v>26</v>
      </c>
      <c r="U38" s="9">
        <v>0</v>
      </c>
      <c r="V38" s="9">
        <v>1</v>
      </c>
      <c r="W38" s="9">
        <v>1</v>
      </c>
      <c r="X38" s="9">
        <v>0</v>
      </c>
      <c r="Y38" s="9">
        <v>0</v>
      </c>
      <c r="Z38" s="9">
        <v>1</v>
      </c>
      <c r="AA38" s="9">
        <v>0</v>
      </c>
      <c r="AB38" s="8">
        <v>0</v>
      </c>
      <c r="AC38" s="8">
        <v>0</v>
      </c>
      <c r="AD38" s="9">
        <v>0</v>
      </c>
    </row>
    <row r="39" spans="1:30" ht="15" x14ac:dyDescent="0.2">
      <c r="A39" s="29"/>
      <c r="B39" s="20" t="s">
        <v>52</v>
      </c>
      <c r="C39" s="9">
        <v>0</v>
      </c>
      <c r="D39" s="26">
        <v>0</v>
      </c>
      <c r="E39" s="26">
        <v>0</v>
      </c>
      <c r="F39" s="24" t="s">
        <v>50</v>
      </c>
      <c r="G39" s="9">
        <v>0</v>
      </c>
      <c r="H39" s="26">
        <v>0</v>
      </c>
      <c r="I39" s="26">
        <v>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9" t="s">
        <v>26</v>
      </c>
      <c r="Q39" s="9">
        <v>0</v>
      </c>
      <c r="R39" s="9">
        <v>0</v>
      </c>
      <c r="S39" s="9">
        <v>0</v>
      </c>
      <c r="T39" s="9" t="s">
        <v>26</v>
      </c>
      <c r="U39" s="9">
        <v>0</v>
      </c>
      <c r="V39" s="9">
        <v>1</v>
      </c>
      <c r="W39" s="9">
        <v>1</v>
      </c>
      <c r="X39" s="9">
        <v>0</v>
      </c>
      <c r="Y39" s="9">
        <v>0</v>
      </c>
      <c r="Z39" s="9">
        <v>1</v>
      </c>
      <c r="AA39" s="9">
        <v>0</v>
      </c>
      <c r="AB39" s="8">
        <v>0</v>
      </c>
      <c r="AC39" s="8">
        <v>0</v>
      </c>
      <c r="AD39" s="9">
        <v>0</v>
      </c>
    </row>
    <row r="40" spans="1:30" ht="15" x14ac:dyDescent="0.2">
      <c r="A40" s="29"/>
      <c r="B40" s="21" t="s">
        <v>53</v>
      </c>
      <c r="C40" s="6">
        <v>4</v>
      </c>
      <c r="D40" s="27">
        <v>1</v>
      </c>
      <c r="E40" s="27">
        <v>1</v>
      </c>
      <c r="F40" s="25" t="s">
        <v>31</v>
      </c>
      <c r="G40" s="6">
        <v>0</v>
      </c>
      <c r="H40" s="27">
        <v>0</v>
      </c>
      <c r="I40" s="27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 t="s">
        <v>26</v>
      </c>
      <c r="Q40" s="6">
        <v>0</v>
      </c>
      <c r="R40" s="6">
        <v>0</v>
      </c>
      <c r="S40" s="6">
        <v>0</v>
      </c>
      <c r="T40" s="6" t="s">
        <v>26</v>
      </c>
      <c r="U40" s="6">
        <v>0</v>
      </c>
      <c r="V40" s="6">
        <v>1</v>
      </c>
      <c r="W40" s="6">
        <v>1</v>
      </c>
      <c r="X40" s="6">
        <v>1</v>
      </c>
      <c r="Y40" s="6">
        <v>0</v>
      </c>
      <c r="Z40" s="6">
        <v>0</v>
      </c>
      <c r="AA40" s="6">
        <v>0</v>
      </c>
      <c r="AB40" s="5">
        <v>0</v>
      </c>
      <c r="AC40" s="5">
        <v>0</v>
      </c>
      <c r="AD40" s="6">
        <v>0</v>
      </c>
    </row>
    <row r="41" spans="1:30" ht="18" customHeight="1" x14ac:dyDescent="0.2">
      <c r="A41" s="29"/>
      <c r="B41" s="22" t="s">
        <v>57</v>
      </c>
      <c r="C41" s="13">
        <v>47</v>
      </c>
      <c r="D41" s="28">
        <v>0.29559748427672999</v>
      </c>
      <c r="E41" s="28">
        <v>0.95918367346938804</v>
      </c>
      <c r="F41" s="23" t="s">
        <v>31</v>
      </c>
      <c r="G41" s="13">
        <v>2</v>
      </c>
      <c r="H41" s="28">
        <v>1.25786163522013E-2</v>
      </c>
      <c r="I41" s="28">
        <v>4.08163265306122E-2</v>
      </c>
      <c r="J41" s="13">
        <f>SUM(J30:J40)</f>
        <v>0</v>
      </c>
      <c r="K41" s="13">
        <f>SUM(K30:K40)</f>
        <v>0</v>
      </c>
      <c r="L41" s="13">
        <f>SUM(L30:L40)</f>
        <v>0</v>
      </c>
      <c r="M41" s="13">
        <v>0</v>
      </c>
      <c r="N41" s="13">
        <v>1</v>
      </c>
      <c r="O41" s="13">
        <v>1</v>
      </c>
      <c r="P41" s="13"/>
      <c r="Q41" s="13">
        <v>0</v>
      </c>
      <c r="R41" s="13">
        <v>1</v>
      </c>
      <c r="S41" s="13">
        <v>1</v>
      </c>
      <c r="T41" s="13"/>
      <c r="U41" s="13">
        <f t="shared" ref="U41:AC41" si="4">SUM(U30:U40)</f>
        <v>0</v>
      </c>
      <c r="V41" s="13">
        <f t="shared" si="4"/>
        <v>11</v>
      </c>
      <c r="W41" s="13">
        <f t="shared" si="4"/>
        <v>11</v>
      </c>
      <c r="X41" s="13">
        <f t="shared" si="4"/>
        <v>3</v>
      </c>
      <c r="Y41" s="13">
        <f t="shared" si="4"/>
        <v>0</v>
      </c>
      <c r="Z41" s="13">
        <f t="shared" si="4"/>
        <v>8</v>
      </c>
      <c r="AA41" s="13">
        <f t="shared" si="4"/>
        <v>0</v>
      </c>
      <c r="AB41" s="12">
        <f t="shared" si="4"/>
        <v>0</v>
      </c>
      <c r="AC41" s="12">
        <f t="shared" si="4"/>
        <v>0</v>
      </c>
      <c r="AD41" s="13">
        <v>1</v>
      </c>
    </row>
  </sheetData>
  <mergeCells count="25">
    <mergeCell ref="J28:L28"/>
    <mergeCell ref="M28:P28"/>
    <mergeCell ref="Q28:T28"/>
    <mergeCell ref="U28:AC28"/>
    <mergeCell ref="E12:F12"/>
    <mergeCell ref="K13:L13"/>
    <mergeCell ref="M13:N13"/>
    <mergeCell ref="O13:P13"/>
    <mergeCell ref="Q13:R13"/>
    <mergeCell ref="S13:T13"/>
    <mergeCell ref="U13:V13"/>
    <mergeCell ref="K12:P12"/>
    <mergeCell ref="Q12:V12"/>
    <mergeCell ref="W12:X12"/>
    <mergeCell ref="H12:I12"/>
    <mergeCell ref="Y12:Z12"/>
    <mergeCell ref="W13:X13"/>
    <mergeCell ref="C28:F28"/>
    <mergeCell ref="G28:I28"/>
    <mergeCell ref="C9:F9"/>
    <mergeCell ref="K2:O2"/>
    <mergeCell ref="B2:H3"/>
    <mergeCell ref="C5:E5"/>
    <mergeCell ref="C6:E6"/>
    <mergeCell ref="C8:F8"/>
  </mergeCells>
  <phoneticPr fontId="0" type="noConversion"/>
  <conditionalFormatting sqref="V14:V25">
    <cfRule type="cellIs" dxfId="23" priority="1" stopIfTrue="1" operator="equal">
      <formula>"J"</formula>
    </cfRule>
    <cfRule type="cellIs" dxfId="22" priority="2" stopIfTrue="1" operator="equal">
      <formula>"K"</formula>
    </cfRule>
    <cfRule type="cellIs" dxfId="21" priority="3" stopIfTrue="1" operator="equal">
      <formula>"L"</formula>
    </cfRule>
  </conditionalFormatting>
  <conditionalFormatting sqref="F30:F41">
    <cfRule type="cellIs" dxfId="20" priority="4" stopIfTrue="1" operator="equal">
      <formula>"J"</formula>
    </cfRule>
    <cfRule type="cellIs" dxfId="19" priority="5" stopIfTrue="1" operator="equal">
      <formula>"K"</formula>
    </cfRule>
    <cfRule type="cellIs" dxfId="18" priority="6" stopIfTrue="1" operator="equal">
      <formula>"L"</formula>
    </cfRule>
  </conditionalFormatting>
  <pageMargins left="0.7" right="0.7" top="0.7" bottom="0.7" header="0.3" footer="0.3"/>
  <pageSetup paperSize="9" fitToHeight="8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/>
  </sheetViews>
  <sheetFormatPr defaultRowHeight="12.75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11"/>
  <sheetViews>
    <sheetView showGridLines="0" workbookViewId="0"/>
  </sheetViews>
  <sheetFormatPr defaultRowHeight="12.75" x14ac:dyDescent="0.2"/>
  <cols>
    <col min="2" max="2" width="14.7109375" customWidth="1"/>
    <col min="3" max="3" width="17" customWidth="1"/>
    <col min="4" max="10" width="14.7109375" customWidth="1"/>
    <col min="11" max="11" width="26.28515625" customWidth="1"/>
    <col min="12" max="15" width="30.7109375" customWidth="1"/>
  </cols>
  <sheetData>
    <row r="2" spans="2:15" x14ac:dyDescent="0.2">
      <c r="B2" s="44" t="s">
        <v>0</v>
      </c>
      <c r="C2" s="44"/>
      <c r="D2" s="44"/>
      <c r="E2" s="44"/>
      <c r="F2" s="44"/>
      <c r="G2" s="44"/>
      <c r="H2" s="44"/>
      <c r="K2" s="43">
        <v>43307.866666666669</v>
      </c>
      <c r="L2" s="43"/>
      <c r="M2" s="43"/>
      <c r="N2" s="43"/>
      <c r="O2" s="43"/>
    </row>
    <row r="3" spans="2:15" x14ac:dyDescent="0.2">
      <c r="B3" s="44"/>
      <c r="C3" s="44"/>
      <c r="D3" s="44"/>
      <c r="E3" s="44"/>
      <c r="F3" s="44"/>
      <c r="G3" s="44"/>
      <c r="H3" s="44"/>
    </row>
    <row r="5" spans="2:15" x14ac:dyDescent="0.2">
      <c r="B5" s="50" t="s">
        <v>100</v>
      </c>
      <c r="C5" s="51"/>
      <c r="D5" s="52"/>
    </row>
    <row r="7" spans="2:15" ht="27" customHeight="1" x14ac:dyDescent="0.2">
      <c r="B7" s="4" t="s">
        <v>101</v>
      </c>
      <c r="C7" s="16" t="s">
        <v>102</v>
      </c>
      <c r="D7" s="16" t="s">
        <v>103</v>
      </c>
      <c r="E7" s="16" t="s">
        <v>104</v>
      </c>
      <c r="F7" s="16" t="s">
        <v>105</v>
      </c>
      <c r="G7" s="16" t="s">
        <v>106</v>
      </c>
      <c r="H7" s="16" t="s">
        <v>107</v>
      </c>
      <c r="I7" s="16" t="s">
        <v>108</v>
      </c>
      <c r="J7" s="16" t="s">
        <v>109</v>
      </c>
      <c r="K7" s="3" t="s">
        <v>110</v>
      </c>
    </row>
    <row r="8" spans="2:15" x14ac:dyDescent="0.2">
      <c r="B8" s="20">
        <v>5153</v>
      </c>
      <c r="C8" s="32">
        <v>43306</v>
      </c>
      <c r="D8" s="11" t="s">
        <v>111</v>
      </c>
      <c r="E8" s="11" t="s">
        <v>112</v>
      </c>
      <c r="F8" s="11" t="s">
        <v>113</v>
      </c>
      <c r="G8" s="11"/>
      <c r="H8" s="11" t="s">
        <v>114</v>
      </c>
      <c r="I8" s="11" t="s">
        <v>115</v>
      </c>
      <c r="J8" s="40" t="s">
        <v>116</v>
      </c>
      <c r="K8" s="41" t="s">
        <v>117</v>
      </c>
    </row>
    <row r="9" spans="2:15" x14ac:dyDescent="0.2">
      <c r="B9" s="20">
        <v>5152</v>
      </c>
      <c r="C9" s="32">
        <v>43306</v>
      </c>
      <c r="D9" s="11" t="s">
        <v>118</v>
      </c>
      <c r="E9" s="11" t="s">
        <v>119</v>
      </c>
      <c r="F9" s="11"/>
      <c r="G9" s="11"/>
      <c r="H9" s="11" t="s">
        <v>120</v>
      </c>
      <c r="I9" s="11" t="s">
        <v>121</v>
      </c>
      <c r="J9" s="40" t="s">
        <v>116</v>
      </c>
      <c r="K9" s="41" t="s">
        <v>122</v>
      </c>
    </row>
    <row r="10" spans="2:15" x14ac:dyDescent="0.2">
      <c r="B10" s="20">
        <v>5151</v>
      </c>
      <c r="C10" s="32">
        <v>43306</v>
      </c>
      <c r="D10" s="11" t="s">
        <v>118</v>
      </c>
      <c r="E10" s="11" t="s">
        <v>112</v>
      </c>
      <c r="F10" s="11" t="s">
        <v>113</v>
      </c>
      <c r="G10" s="11"/>
      <c r="H10" s="11" t="s">
        <v>120</v>
      </c>
      <c r="I10" s="11" t="s">
        <v>123</v>
      </c>
      <c r="J10" s="40" t="s">
        <v>116</v>
      </c>
      <c r="K10" s="41" t="s">
        <v>124</v>
      </c>
    </row>
    <row r="11" spans="2:15" x14ac:dyDescent="0.2">
      <c r="B11" s="21">
        <v>5150</v>
      </c>
      <c r="C11" s="30">
        <v>43306</v>
      </c>
      <c r="D11" s="15" t="s">
        <v>111</v>
      </c>
      <c r="E11" s="15" t="s">
        <v>112</v>
      </c>
      <c r="F11" s="15" t="s">
        <v>125</v>
      </c>
      <c r="G11" s="15"/>
      <c r="H11" s="15" t="s">
        <v>126</v>
      </c>
      <c r="I11" s="15" t="s">
        <v>127</v>
      </c>
      <c r="J11" s="39" t="s">
        <v>116</v>
      </c>
      <c r="K11" s="38"/>
    </row>
  </sheetData>
  <mergeCells count="3">
    <mergeCell ref="K2:O2"/>
    <mergeCell ref="B2:H3"/>
    <mergeCell ref="B5:D5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20"/>
  <sheetViews>
    <sheetView showGridLines="0" workbookViewId="0"/>
  </sheetViews>
  <sheetFormatPr defaultRowHeight="12.75" x14ac:dyDescent="0.2"/>
  <cols>
    <col min="2" max="4" width="14.7109375" customWidth="1"/>
  </cols>
  <sheetData>
    <row r="2" spans="2:4" ht="27" customHeight="1" x14ac:dyDescent="0.2">
      <c r="B2" s="4" t="s">
        <v>97</v>
      </c>
      <c r="C2" s="16" t="s">
        <v>98</v>
      </c>
      <c r="D2" s="3" t="s">
        <v>99</v>
      </c>
    </row>
    <row r="3" spans="2:4" x14ac:dyDescent="0.2">
      <c r="B3" s="34">
        <v>43298</v>
      </c>
      <c r="C3" s="33">
        <v>0</v>
      </c>
      <c r="D3" s="35">
        <v>1</v>
      </c>
    </row>
    <row r="4" spans="2:4" x14ac:dyDescent="0.2">
      <c r="B4" s="34">
        <v>43299</v>
      </c>
      <c r="C4" s="33">
        <v>2</v>
      </c>
      <c r="D4" s="35">
        <v>2</v>
      </c>
    </row>
    <row r="5" spans="2:4" x14ac:dyDescent="0.2">
      <c r="B5" s="34">
        <v>43300</v>
      </c>
      <c r="C5" s="33">
        <v>2</v>
      </c>
      <c r="D5" s="35">
        <v>3</v>
      </c>
    </row>
    <row r="6" spans="2:4" x14ac:dyDescent="0.2">
      <c r="B6" s="34">
        <v>43301</v>
      </c>
      <c r="C6" s="33">
        <v>2</v>
      </c>
      <c r="D6" s="35">
        <v>4</v>
      </c>
    </row>
    <row r="7" spans="2:4" x14ac:dyDescent="0.2">
      <c r="B7" s="34">
        <v>43302</v>
      </c>
      <c r="C7" s="33">
        <v>2</v>
      </c>
      <c r="D7" s="35">
        <v>4</v>
      </c>
    </row>
    <row r="8" spans="2:4" x14ac:dyDescent="0.2">
      <c r="B8" s="34">
        <v>43303</v>
      </c>
      <c r="C8" s="33">
        <v>2</v>
      </c>
      <c r="D8" s="35">
        <v>4</v>
      </c>
    </row>
    <row r="9" spans="2:4" x14ac:dyDescent="0.2">
      <c r="B9" s="34">
        <v>43304</v>
      </c>
      <c r="C9" s="33">
        <v>4</v>
      </c>
      <c r="D9" s="35">
        <v>13</v>
      </c>
    </row>
    <row r="10" spans="2:4" x14ac:dyDescent="0.2">
      <c r="B10" s="34">
        <v>43305</v>
      </c>
      <c r="C10" s="33">
        <v>8</v>
      </c>
      <c r="D10" s="35">
        <v>24</v>
      </c>
    </row>
    <row r="11" spans="2:4" x14ac:dyDescent="0.2">
      <c r="B11" s="34">
        <v>43306</v>
      </c>
      <c r="C11" s="33">
        <v>35</v>
      </c>
      <c r="D11" s="35">
        <v>34</v>
      </c>
    </row>
    <row r="12" spans="2:4" x14ac:dyDescent="0.2">
      <c r="B12" s="34">
        <v>43307</v>
      </c>
      <c r="C12" s="33">
        <v>49</v>
      </c>
      <c r="D12" s="35">
        <v>44</v>
      </c>
    </row>
    <row r="13" spans="2:4" x14ac:dyDescent="0.2">
      <c r="B13" s="34">
        <v>43308</v>
      </c>
      <c r="C13" s="33"/>
      <c r="D13" s="35">
        <v>53</v>
      </c>
    </row>
    <row r="14" spans="2:4" x14ac:dyDescent="0.2">
      <c r="B14" s="34">
        <v>43309</v>
      </c>
      <c r="C14" s="33"/>
      <c r="D14" s="35">
        <v>53</v>
      </c>
    </row>
    <row r="15" spans="2:4" x14ac:dyDescent="0.2">
      <c r="B15" s="34">
        <v>43310</v>
      </c>
      <c r="C15" s="33"/>
      <c r="D15" s="35">
        <v>53</v>
      </c>
    </row>
    <row r="16" spans="2:4" x14ac:dyDescent="0.2">
      <c r="B16" s="34">
        <v>43311</v>
      </c>
      <c r="C16" s="33"/>
      <c r="D16" s="35">
        <v>74</v>
      </c>
    </row>
    <row r="17" spans="2:4" x14ac:dyDescent="0.2">
      <c r="B17" s="34">
        <v>43312</v>
      </c>
      <c r="C17" s="33"/>
      <c r="D17" s="35">
        <v>96</v>
      </c>
    </row>
    <row r="18" spans="2:4" x14ac:dyDescent="0.2">
      <c r="B18" s="34">
        <v>43313</v>
      </c>
      <c r="C18" s="33"/>
      <c r="D18" s="35">
        <v>120</v>
      </c>
    </row>
    <row r="19" spans="2:4" x14ac:dyDescent="0.2">
      <c r="B19" s="34">
        <v>43314</v>
      </c>
      <c r="C19" s="33"/>
      <c r="D19" s="35">
        <v>138</v>
      </c>
    </row>
    <row r="20" spans="2:4" x14ac:dyDescent="0.2">
      <c r="B20" s="36">
        <v>43315</v>
      </c>
      <c r="C20" s="31"/>
      <c r="D20" s="37">
        <v>159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VFUK</vt:lpstr>
      <vt:lpstr>Graph</vt:lpstr>
      <vt:lpstr>Defects</vt:lpstr>
      <vt:lpstr>Data</vt:lpstr>
    </vt:vector>
  </TitlesOfParts>
  <Company>Amdocs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IUSR_AVISHT01</dc:creator>
  <cp:lastModifiedBy>Santosh Kumar(150339)</cp:lastModifiedBy>
  <dcterms:created xsi:type="dcterms:W3CDTF">2006-12-03T08:33:23Z</dcterms:created>
  <dcterms:modified xsi:type="dcterms:W3CDTF">2018-07-27T05:40:11Z</dcterms:modified>
</cp:coreProperties>
</file>